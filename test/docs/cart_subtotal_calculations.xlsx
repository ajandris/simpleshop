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Q:\Actual\Studijas\Web Development College\MP-4\simple-shop\test\docs\"/>
    </mc:Choice>
  </mc:AlternateContent>
  <xr:revisionPtr revIDLastSave="0" documentId="13_ncr:1_{8BEFFA0F-D38C-453C-9AB6-2A46F1B938BE}" xr6:coauthVersionLast="47" xr6:coauthVersionMax="47" xr10:uidLastSave="{00000000-0000-0000-0000-000000000000}"/>
  <bookViews>
    <workbookView xWindow="38280" yWindow="-120" windowWidth="29040" windowHeight="15720" xr2:uid="{16EE7CD4-E867-4E47-88D2-0CB15CA6E47B}"/>
  </bookViews>
  <sheets>
    <sheet name="Car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8" i="1" l="1"/>
  <c r="L27" i="1"/>
  <c r="L26" i="1"/>
  <c r="J19" i="1"/>
  <c r="D28" i="1"/>
  <c r="D27" i="1"/>
  <c r="D26" i="1"/>
  <c r="B19" i="1"/>
  <c r="T13" i="1"/>
  <c r="R4" i="1" s="1"/>
  <c r="T12" i="1"/>
  <c r="T11" i="1"/>
  <c r="J5" i="1"/>
  <c r="L13" i="1"/>
  <c r="L12" i="1"/>
  <c r="L11" i="1"/>
  <c r="J4" i="1"/>
  <c r="B7" i="1"/>
  <c r="D12" i="1"/>
  <c r="D13" i="1"/>
  <c r="D11" i="1"/>
  <c r="B5" i="1"/>
  <c r="J23" i="1" l="1"/>
  <c r="J22" i="1" s="1"/>
  <c r="B21" i="1"/>
  <c r="B23" i="1" s="1"/>
  <c r="B22" i="1" s="1"/>
  <c r="R5" i="1"/>
  <c r="R6" i="1" s="1"/>
  <c r="R8" i="1" s="1"/>
  <c r="R7" i="1" s="1"/>
  <c r="J6" i="1"/>
  <c r="J8" i="1" s="1"/>
  <c r="J7" i="1" s="1"/>
  <c r="B4" i="1"/>
  <c r="B6" i="1" l="1"/>
  <c r="B8" i="1" s="1"/>
</calcChain>
</file>

<file path=xl/sharedStrings.xml><?xml version="1.0" encoding="utf-8"?>
<sst xmlns="http://schemas.openxmlformats.org/spreadsheetml/2006/main" count="99" uniqueCount="26">
  <si>
    <t>Product 1</t>
  </si>
  <si>
    <t>Discount</t>
  </si>
  <si>
    <t>Shipping</t>
  </si>
  <si>
    <t>amount</t>
  </si>
  <si>
    <t>standard</t>
  </si>
  <si>
    <t>Items</t>
  </si>
  <si>
    <t>Product 2</t>
  </si>
  <si>
    <t>Product 3</t>
  </si>
  <si>
    <t>qty</t>
  </si>
  <si>
    <t>price</t>
  </si>
  <si>
    <t>line amount</t>
  </si>
  <si>
    <t>Subtotal</t>
  </si>
  <si>
    <t>Value</t>
  </si>
  <si>
    <t>Type</t>
  </si>
  <si>
    <t>Alt value</t>
  </si>
  <si>
    <t>Result amount</t>
  </si>
  <si>
    <t>Threshold</t>
  </si>
  <si>
    <t>Total to pay</t>
  </si>
  <si>
    <t>VAT included</t>
  </si>
  <si>
    <t>base_cart_with_discount</t>
  </si>
  <si>
    <t>base_cart</t>
  </si>
  <si>
    <t>base_cart_with_discount_percent</t>
  </si>
  <si>
    <t>percent</t>
  </si>
  <si>
    <t>base_cart_with_discount_1000_min_subtotal</t>
  </si>
  <si>
    <t>base_cart_with_express_shipping</t>
  </si>
  <si>
    <t>express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</si>
</sst>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6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/>
    <xf numFmtId="0" fontId="0" fillId="0" borderId="0" xfId="0" applyBorder="1"/>
    <xf numFmtId="0" fontId="0" fillId="0" borderId="2" xfId="0" applyBorder="1"/>
    <xf numFmtId="9" fontId="0" fillId="0" borderId="0" xfId="0" applyNumberFormat="1"/>
    <xf numFmtId="0" fontId="1" fillId="0" borderId="0" xfId="0" applyFont="1" applyAlignment="1">
      <alignment horizontal="right"/>
    </xf>
    <xf numFmtId="0" fontId="4" fillId="0" borderId="0" xfId="0" applyFont="1"/>
    <xf numFmtId="2" fontId="0" fillId="0" borderId="0" xfId="0" applyNumberFormat="1"/>
    <xf numFmtId="2" fontId="0" fillId="0" borderId="1" xfId="0" applyNumberFormat="1" applyBorder="1"/>
    <xf numFmtId="2" fontId="0" fillId="0" borderId="0" xfId="0" applyNumberFormat="1" applyBorder="1"/>
    <xf numFmtId="2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AE393-9091-4905-AE06-746EBC4A2049}">
  <dimension ref="A2:V28"/>
  <sheetViews>
    <sheetView tabSelected="1" workbookViewId="0">
      <selection activeCell="L23" sqref="L23"/>
    </sheetView>
  </sheetViews>
  <sheetFormatPr defaultRowHeight="14.4" x14ac:dyDescent="0.3"/>
  <cols>
    <col min="1" max="1" width="15.109375" customWidth="1"/>
    <col min="2" max="2" width="14" customWidth="1"/>
    <col min="4" max="4" width="12.21875" customWidth="1"/>
    <col min="6" max="6" width="10.44140625" customWidth="1"/>
    <col min="9" max="9" width="13.109375" customWidth="1"/>
    <col min="10" max="10" width="13.88671875" bestFit="1" customWidth="1"/>
    <col min="12" max="12" width="11" customWidth="1"/>
    <col min="17" max="17" width="14.33203125" bestFit="1" customWidth="1"/>
  </cols>
  <sheetData>
    <row r="2" spans="1:22" ht="21" x14ac:dyDescent="0.4">
      <c r="A2" s="9" t="s">
        <v>19</v>
      </c>
      <c r="I2" s="9" t="s">
        <v>21</v>
      </c>
      <c r="Q2" s="9" t="s">
        <v>20</v>
      </c>
    </row>
    <row r="3" spans="1:22" x14ac:dyDescent="0.3">
      <c r="B3" s="1" t="s">
        <v>15</v>
      </c>
      <c r="C3" s="1" t="s">
        <v>13</v>
      </c>
      <c r="D3" s="8" t="s">
        <v>12</v>
      </c>
      <c r="E3" s="8" t="s">
        <v>14</v>
      </c>
      <c r="F3" s="8" t="s">
        <v>16</v>
      </c>
      <c r="J3" s="1" t="s">
        <v>15</v>
      </c>
      <c r="K3" s="1" t="s">
        <v>13</v>
      </c>
      <c r="L3" s="8" t="s">
        <v>12</v>
      </c>
      <c r="M3" s="8" t="s">
        <v>14</v>
      </c>
      <c r="N3" s="8" t="s">
        <v>16</v>
      </c>
      <c r="R3" s="1" t="s">
        <v>15</v>
      </c>
      <c r="S3" s="1" t="s">
        <v>13</v>
      </c>
      <c r="T3" s="8" t="s">
        <v>12</v>
      </c>
      <c r="U3" s="8" t="s">
        <v>14</v>
      </c>
      <c r="V3" s="8" t="s">
        <v>16</v>
      </c>
    </row>
    <row r="4" spans="1:22" x14ac:dyDescent="0.3">
      <c r="A4" t="s">
        <v>11</v>
      </c>
      <c r="B4" s="10">
        <f>SUM(D11:D13)</f>
        <v>512.5</v>
      </c>
      <c r="I4" t="s">
        <v>11</v>
      </c>
      <c r="J4" s="10">
        <f>SUM(L11:L13)</f>
        <v>512.5</v>
      </c>
      <c r="Q4" t="s">
        <v>11</v>
      </c>
      <c r="R4" s="10">
        <f>SUM(T11:T13)</f>
        <v>512.5</v>
      </c>
    </row>
    <row r="5" spans="1:22" x14ac:dyDescent="0.3">
      <c r="A5" t="s">
        <v>1</v>
      </c>
      <c r="B5" s="10">
        <f>D5</f>
        <v>10</v>
      </c>
      <c r="C5" t="s">
        <v>3</v>
      </c>
      <c r="D5" s="10">
        <v>10</v>
      </c>
      <c r="E5" s="10"/>
      <c r="F5" s="10"/>
      <c r="I5" t="s">
        <v>1</v>
      </c>
      <c r="J5" s="10">
        <f>ROUND(J4*L5/100,2)</f>
        <v>51.25</v>
      </c>
      <c r="K5" t="s">
        <v>22</v>
      </c>
      <c r="L5" s="10">
        <v>10</v>
      </c>
      <c r="M5" s="10"/>
      <c r="N5" s="10"/>
      <c r="Q5" t="s">
        <v>1</v>
      </c>
      <c r="R5" s="10">
        <f>ROUND(R4*T5/100,2)</f>
        <v>0</v>
      </c>
      <c r="T5" s="10"/>
      <c r="U5" s="10"/>
      <c r="V5" s="10"/>
    </row>
    <row r="6" spans="1:22" x14ac:dyDescent="0.3">
      <c r="A6" t="s">
        <v>2</v>
      </c>
      <c r="B6" s="10">
        <f>IF((B4-B5)&gt;=F6,E6,D6)</f>
        <v>0</v>
      </c>
      <c r="C6" t="s">
        <v>4</v>
      </c>
      <c r="D6" s="10">
        <v>4.99</v>
      </c>
      <c r="E6" s="10">
        <v>0</v>
      </c>
      <c r="F6" s="10">
        <v>50</v>
      </c>
      <c r="I6" t="s">
        <v>2</v>
      </c>
      <c r="J6" s="10">
        <f>IF((J4-J5)&gt;=N6,M6,L6)</f>
        <v>0</v>
      </c>
      <c r="K6" t="s">
        <v>4</v>
      </c>
      <c r="L6" s="10">
        <v>4.99</v>
      </c>
      <c r="M6" s="10">
        <v>0</v>
      </c>
      <c r="N6" s="10">
        <v>50</v>
      </c>
      <c r="Q6" t="s">
        <v>2</v>
      </c>
      <c r="R6" s="10">
        <f>IF((R4-R5)&gt;=V6,U6,T6)</f>
        <v>0</v>
      </c>
      <c r="S6" t="s">
        <v>4</v>
      </c>
      <c r="T6" s="10">
        <v>4.99</v>
      </c>
      <c r="U6" s="10">
        <v>0</v>
      </c>
      <c r="V6" s="10">
        <v>50</v>
      </c>
    </row>
    <row r="7" spans="1:22" x14ac:dyDescent="0.3">
      <c r="A7" t="s">
        <v>18</v>
      </c>
      <c r="B7" s="10">
        <f>B8 - B8/(100+C7)*100</f>
        <v>83.75</v>
      </c>
      <c r="C7" s="10">
        <v>20</v>
      </c>
      <c r="H7" s="10"/>
      <c r="I7" t="s">
        <v>18</v>
      </c>
      <c r="J7" s="10">
        <f>J8 - J8/(100+K7)*100</f>
        <v>76.875</v>
      </c>
      <c r="K7" s="10">
        <v>20</v>
      </c>
      <c r="Q7" t="s">
        <v>18</v>
      </c>
      <c r="R7" s="10">
        <f>R8 - R8/(100+S7)*100</f>
        <v>85.416666666666686</v>
      </c>
      <c r="S7" s="10">
        <v>20</v>
      </c>
    </row>
    <row r="8" spans="1:22" x14ac:dyDescent="0.3">
      <c r="A8" s="1" t="s">
        <v>17</v>
      </c>
      <c r="B8" s="10">
        <f>B4-B5+B6</f>
        <v>502.5</v>
      </c>
      <c r="C8" s="7"/>
      <c r="I8" s="1" t="s">
        <v>17</v>
      </c>
      <c r="J8" s="10">
        <f>J4-J5+J6</f>
        <v>461.25</v>
      </c>
      <c r="K8" s="7"/>
      <c r="Q8" s="1" t="s">
        <v>17</v>
      </c>
      <c r="R8" s="10">
        <f>R4-R5+R6</f>
        <v>512.5</v>
      </c>
      <c r="S8" s="7"/>
    </row>
    <row r="9" spans="1:22" x14ac:dyDescent="0.3">
      <c r="A9" s="2" t="s">
        <v>5</v>
      </c>
      <c r="I9" s="2" t="s">
        <v>5</v>
      </c>
      <c r="Q9" s="2" t="s">
        <v>5</v>
      </c>
    </row>
    <row r="10" spans="1:22" x14ac:dyDescent="0.3">
      <c r="A10" s="2"/>
      <c r="B10" s="3" t="s">
        <v>8</v>
      </c>
      <c r="C10" s="3" t="s">
        <v>9</v>
      </c>
      <c r="D10" s="3" t="s">
        <v>10</v>
      </c>
      <c r="I10" s="2"/>
      <c r="J10" s="3" t="s">
        <v>8</v>
      </c>
      <c r="K10" s="3" t="s">
        <v>9</v>
      </c>
      <c r="L10" s="3" t="s">
        <v>10</v>
      </c>
      <c r="Q10" s="2"/>
      <c r="R10" s="3" t="s">
        <v>8</v>
      </c>
      <c r="S10" s="3" t="s">
        <v>9</v>
      </c>
      <c r="T10" s="3" t="s">
        <v>10</v>
      </c>
    </row>
    <row r="11" spans="1:22" x14ac:dyDescent="0.3">
      <c r="A11" s="4" t="s">
        <v>0</v>
      </c>
      <c r="B11" s="4">
        <v>10</v>
      </c>
      <c r="C11" s="11">
        <v>12.5</v>
      </c>
      <c r="D11" s="11">
        <f>B11*C11</f>
        <v>125</v>
      </c>
      <c r="I11" s="4" t="s">
        <v>0</v>
      </c>
      <c r="J11" s="4">
        <v>10</v>
      </c>
      <c r="K11" s="11">
        <v>12.5</v>
      </c>
      <c r="L11" s="11">
        <f>J11*K11</f>
        <v>125</v>
      </c>
      <c r="Q11" s="4" t="s">
        <v>0</v>
      </c>
      <c r="R11" s="4">
        <v>10</v>
      </c>
      <c r="S11" s="11">
        <v>12.5</v>
      </c>
      <c r="T11" s="11">
        <f>R11*S11</f>
        <v>125</v>
      </c>
    </row>
    <row r="12" spans="1:22" x14ac:dyDescent="0.3">
      <c r="A12" s="5" t="s">
        <v>6</v>
      </c>
      <c r="B12" s="5">
        <v>5</v>
      </c>
      <c r="C12" s="12">
        <v>10</v>
      </c>
      <c r="D12" s="12">
        <f t="shared" ref="D12:D13" si="0">B12*C12</f>
        <v>50</v>
      </c>
      <c r="I12" s="5" t="s">
        <v>6</v>
      </c>
      <c r="J12" s="5">
        <v>5</v>
      </c>
      <c r="K12" s="12">
        <v>10</v>
      </c>
      <c r="L12" s="12">
        <f t="shared" ref="L12:L13" si="1">J12*K12</f>
        <v>50</v>
      </c>
      <c r="Q12" s="5" t="s">
        <v>6</v>
      </c>
      <c r="R12" s="5">
        <v>5</v>
      </c>
      <c r="S12" s="12">
        <v>10</v>
      </c>
      <c r="T12" s="12">
        <f t="shared" ref="T12:T13" si="2">R12*S12</f>
        <v>50</v>
      </c>
    </row>
    <row r="13" spans="1:22" ht="15" thickBot="1" x14ac:dyDescent="0.35">
      <c r="A13" s="6" t="s">
        <v>7</v>
      </c>
      <c r="B13" s="6">
        <v>15</v>
      </c>
      <c r="C13" s="13">
        <v>22.5</v>
      </c>
      <c r="D13" s="13">
        <f t="shared" si="0"/>
        <v>337.5</v>
      </c>
      <c r="I13" s="6" t="s">
        <v>7</v>
      </c>
      <c r="J13" s="6">
        <v>15</v>
      </c>
      <c r="K13" s="13">
        <v>22.5</v>
      </c>
      <c r="L13" s="13">
        <f t="shared" si="1"/>
        <v>337.5</v>
      </c>
      <c r="Q13" s="6" t="s">
        <v>7</v>
      </c>
      <c r="R13" s="6">
        <v>15</v>
      </c>
      <c r="S13" s="13">
        <v>22.5</v>
      </c>
      <c r="T13" s="13">
        <f t="shared" si="2"/>
        <v>337.5</v>
      </c>
    </row>
    <row r="17" spans="1:14" ht="21" x14ac:dyDescent="0.4">
      <c r="A17" s="9" t="s">
        <v>23</v>
      </c>
      <c r="I17" s="9" t="s">
        <v>24</v>
      </c>
    </row>
    <row r="18" spans="1:14" x14ac:dyDescent="0.3">
      <c r="B18" s="1" t="s">
        <v>15</v>
      </c>
      <c r="C18" s="1" t="s">
        <v>13</v>
      </c>
      <c r="D18" s="8" t="s">
        <v>12</v>
      </c>
      <c r="E18" s="8" t="s">
        <v>14</v>
      </c>
      <c r="F18" s="8" t="s">
        <v>16</v>
      </c>
      <c r="J18" s="1" t="s">
        <v>15</v>
      </c>
      <c r="K18" s="1" t="s">
        <v>13</v>
      </c>
      <c r="L18" s="8" t="s">
        <v>12</v>
      </c>
      <c r="M18" s="8" t="s">
        <v>14</v>
      </c>
      <c r="N18" s="8" t="s">
        <v>16</v>
      </c>
    </row>
    <row r="19" spans="1:14" x14ac:dyDescent="0.3">
      <c r="A19" t="s">
        <v>11</v>
      </c>
      <c r="B19" s="10">
        <f>SUM(D26:D28)</f>
        <v>512.5</v>
      </c>
      <c r="I19" t="s">
        <v>11</v>
      </c>
      <c r="J19" s="10">
        <f>SUM(L26:L28)</f>
        <v>512.5</v>
      </c>
    </row>
    <row r="20" spans="1:14" x14ac:dyDescent="0.3">
      <c r="A20" t="s">
        <v>1</v>
      </c>
      <c r="B20" s="10">
        <v>0</v>
      </c>
      <c r="C20" t="s">
        <v>3</v>
      </c>
      <c r="D20" s="10">
        <v>10</v>
      </c>
      <c r="E20" s="10"/>
      <c r="F20" s="10"/>
      <c r="I20" t="s">
        <v>1</v>
      </c>
      <c r="J20" s="10">
        <v>0</v>
      </c>
      <c r="K20" t="s">
        <v>3</v>
      </c>
      <c r="L20" s="10">
        <v>10</v>
      </c>
      <c r="M20" s="10"/>
      <c r="N20" s="10"/>
    </row>
    <row r="21" spans="1:14" x14ac:dyDescent="0.3">
      <c r="A21" t="s">
        <v>2</v>
      </c>
      <c r="B21" s="10">
        <f>IF((B19-B20)&gt;=F21,E21,D21)</f>
        <v>0</v>
      </c>
      <c r="C21" t="s">
        <v>4</v>
      </c>
      <c r="D21" s="10">
        <v>4.99</v>
      </c>
      <c r="E21" s="10">
        <v>0</v>
      </c>
      <c r="F21" s="10">
        <v>50</v>
      </c>
      <c r="I21" t="s">
        <v>2</v>
      </c>
      <c r="J21" s="10">
        <v>8.99</v>
      </c>
      <c r="K21" t="s">
        <v>25</v>
      </c>
      <c r="L21" s="10">
        <v>8.99</v>
      </c>
      <c r="M21" s="10">
        <v>2</v>
      </c>
      <c r="N21" s="10">
        <v>10000</v>
      </c>
    </row>
    <row r="22" spans="1:14" x14ac:dyDescent="0.3">
      <c r="A22" t="s">
        <v>18</v>
      </c>
      <c r="B22" s="10">
        <f>B23 - B23/(100+C22)*100</f>
        <v>85.416666666666686</v>
      </c>
      <c r="C22" s="10">
        <v>20</v>
      </c>
      <c r="I22" t="s">
        <v>18</v>
      </c>
      <c r="J22" s="10">
        <f>J23 - J23/(100+K22)*100</f>
        <v>86.91500000000002</v>
      </c>
      <c r="K22" s="10">
        <v>20</v>
      </c>
    </row>
    <row r="23" spans="1:14" x14ac:dyDescent="0.3">
      <c r="A23" s="1" t="s">
        <v>17</v>
      </c>
      <c r="B23" s="10">
        <f>B19-B20+B21</f>
        <v>512.5</v>
      </c>
      <c r="C23" s="7"/>
      <c r="I23" s="1" t="s">
        <v>17</v>
      </c>
      <c r="J23" s="10">
        <f>J19-J20+J21</f>
        <v>521.49</v>
      </c>
      <c r="K23" s="7"/>
    </row>
    <row r="24" spans="1:14" x14ac:dyDescent="0.3">
      <c r="A24" s="2" t="s">
        <v>5</v>
      </c>
      <c r="I24" s="2" t="s">
        <v>5</v>
      </c>
    </row>
    <row r="25" spans="1:14" x14ac:dyDescent="0.3">
      <c r="A25" s="2"/>
      <c r="B25" s="3" t="s">
        <v>8</v>
      </c>
      <c r="C25" s="3" t="s">
        <v>9</v>
      </c>
      <c r="D25" s="3" t="s">
        <v>10</v>
      </c>
      <c r="I25" s="2"/>
      <c r="J25" s="3" t="s">
        <v>8</v>
      </c>
      <c r="K25" s="3" t="s">
        <v>9</v>
      </c>
      <c r="L25" s="3" t="s">
        <v>10</v>
      </c>
    </row>
    <row r="26" spans="1:14" x14ac:dyDescent="0.3">
      <c r="A26" s="4" t="s">
        <v>0</v>
      </c>
      <c r="B26" s="4">
        <v>10</v>
      </c>
      <c r="C26" s="11">
        <v>12.5</v>
      </c>
      <c r="D26" s="11">
        <f>B26*C26</f>
        <v>125</v>
      </c>
      <c r="I26" s="4" t="s">
        <v>0</v>
      </c>
      <c r="J26" s="4">
        <v>10</v>
      </c>
      <c r="K26" s="11">
        <v>12.5</v>
      </c>
      <c r="L26" s="11">
        <f>J26*K26</f>
        <v>125</v>
      </c>
    </row>
    <row r="27" spans="1:14" x14ac:dyDescent="0.3">
      <c r="A27" s="5" t="s">
        <v>6</v>
      </c>
      <c r="B27" s="5">
        <v>5</v>
      </c>
      <c r="C27" s="12">
        <v>10</v>
      </c>
      <c r="D27" s="12">
        <f t="shared" ref="D27:D28" si="3">B27*C27</f>
        <v>50</v>
      </c>
      <c r="I27" s="5" t="s">
        <v>6</v>
      </c>
      <c r="J27" s="5">
        <v>5</v>
      </c>
      <c r="K27" s="12">
        <v>10</v>
      </c>
      <c r="L27" s="12">
        <f t="shared" ref="L27:L28" si="4">J27*K27</f>
        <v>50</v>
      </c>
    </row>
    <row r="28" spans="1:14" ht="15" thickBot="1" x14ac:dyDescent="0.35">
      <c r="A28" s="6" t="s">
        <v>7</v>
      </c>
      <c r="B28" s="6">
        <v>15</v>
      </c>
      <c r="C28" s="13">
        <v>22.5</v>
      </c>
      <c r="D28" s="13">
        <f t="shared" si="3"/>
        <v>337.5</v>
      </c>
      <c r="I28" s="6" t="s">
        <v>7</v>
      </c>
      <c r="J28" s="6">
        <v>15</v>
      </c>
      <c r="K28" s="13">
        <v>22.5</v>
      </c>
      <c r="L28" s="13">
        <f t="shared" si="4"/>
        <v>337.5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Andris Jancevskis</dc:creator>
  <cp:lastModifiedBy>Andris Jancevskis</cp:lastModifiedBy>
  <dcterms:created xsi:type="dcterms:W3CDTF">2026-01-07T04:59:22Z</dcterms:created>
  <dcterms:modified xsi:type="dcterms:W3CDTF">2026-01-08T01:34:54Z</dcterms:modified>
</cp:coreProperties>
</file>